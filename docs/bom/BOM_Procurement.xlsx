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" sheetId="2" state="visible" r:id="rId4"/>
    <sheet name="Lookups" sheetId="3" state="visible" r:id="rId5"/>
  </sheets>
  <definedNames>
    <definedName function="false" hidden="false" localSheetId="0" name="_xlnm.Print_Titles" vbProcedure="false">BOM!$4:$4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<sst xmlns="http://schemas.openxmlformats.org/spreadsheetml/2006/main" count="203" uniqueCount="129">
  <si>
    <t xml:space="preserve">BILL OF MATERIALS (BOM) — PROCUREMENT TEMPLATE</t>
  </si>
  <si>
    <t xml:space="preserve">Project:</t>
  </si>
  <si>
    <t xml:space="preserve">[Project Name]</t>
  </si>
  <si>
    <t xml:space="preserve">Revision:</t>
  </si>
  <si>
    <t xml:space="preserve">A</t>
  </si>
  <si>
    <t xml:space="preserve">Date:</t>
  </si>
  <si>
    <t xml:space="preserve">Prepared By:</t>
  </si>
  <si>
    <t xml:space="preserve">Item #</t>
  </si>
  <si>
    <t xml:space="preserve">Vendor</t>
  </si>
  <si>
    <t xml:space="preserve">Part Number</t>
  </si>
  <si>
    <t xml:space="preserve">Manufacturer</t>
  </si>
  <si>
    <t xml:space="preserve">Manufacturer Part #</t>
  </si>
  <si>
    <t xml:space="preserve">Description</t>
  </si>
  <si>
    <t xml:space="preserve">Revision</t>
  </si>
  <si>
    <t xml:space="preserve">Category</t>
  </si>
  <si>
    <t xml:space="preserve">UOM</t>
  </si>
  <si>
    <t xml:space="preserve">Qty Per
Assembly</t>
  </si>
  <si>
    <t xml:space="preserve">Total Qty
Required</t>
  </si>
  <si>
    <t xml:space="preserve">Unit Cost
(USD)</t>
  </si>
  <si>
    <t xml:space="preserve">Extended
Cost (USD)</t>
  </si>
  <si>
    <t xml:space="preserve">Lead Time
(Days)</t>
  </si>
  <si>
    <t xml:space="preserve">Notes / Supplier</t>
  </si>
  <si>
    <t xml:space="preserve">Amazon</t>
  </si>
  <si>
    <t xml:space="preserve">B08N1DD5WJ</t>
  </si>
  <si>
    <t xml:space="preserve">Otdorpatio</t>
  </si>
  <si>
    <t xml:space="preserve">Electrical Junction Box Power Enclosure (7.87” x 4.72” x 2.95”)</t>
  </si>
  <si>
    <t xml:space="preserve">Enclosures / Hardware</t>
  </si>
  <si>
    <t xml:space="preserve">B0FH6LH8WQ</t>
  </si>
  <si>
    <t xml:space="preserve">Tnyvm</t>
  </si>
  <si>
    <t xml:space="preserve">TYA250</t>
  </si>
  <si>
    <t xml:space="preserve">2 IP68 Breather Screw Air Vent, M12x1.5 Presure Reducing valve, lighting breather plug for moisture and pressure control venting screw for outdoor electrical enclosures</t>
  </si>
  <si>
    <t xml:space="preserve">B0FL22G77N</t>
  </si>
  <si>
    <t xml:space="preserve">Meccanixity</t>
  </si>
  <si>
    <t xml:space="preserve">mea25061ee000420</t>
  </si>
  <si>
    <t xml:space="preserve">6V 3W 500mA mini solar panels, Small polycrystalline solar cell panel with 2 cable for DIY electric toy materials kits charger, 145mm x 145mm</t>
  </si>
  <si>
    <t xml:space="preserve">Power &amp; Energy</t>
  </si>
  <si>
    <t xml:space="preserve">B0FH22F8SB</t>
  </si>
  <si>
    <t xml:space="preserve">1DFAUL</t>
  </si>
  <si>
    <t xml:space="preserve">100ml Conformal Coating for Electronics, Silicone Comformal coating insulating sealant, waterproof, dust &amp; moisture resistant, for reliable electronic components protection</t>
  </si>
  <si>
    <t xml:space="preserve">Coatings &amp; Protection</t>
  </si>
  <si>
    <t xml:space="preserve">B082F7X8WS</t>
  </si>
  <si>
    <t xml:space="preserve">HiLetgo</t>
  </si>
  <si>
    <t xml:space="preserve">2pc CN3065 Mni Solar lipo Charger Board Lithium Battery charge chip micro usb diy outdoor application kit charging board module</t>
  </si>
  <si>
    <t xml:space="preserve">Set</t>
  </si>
  <si>
    <t xml:space="preserve">B0BJV7SK5D</t>
  </si>
  <si>
    <t xml:space="preserve">DIANN</t>
  </si>
  <si>
    <t xml:space="preserve">10pcs 18650 Battery Holder single 1x 3.7V 18650 Battery Holder 18650 Battery Holder with Wires</t>
  </si>
  <si>
    <t xml:space="preserve">B0CY8HM7HR</t>
  </si>
  <si>
    <t xml:space="preserve">Vbeijll</t>
  </si>
  <si>
    <t xml:space="preserve">US-VB-GZJ01</t>
  </si>
  <si>
    <t xml:space="preserve">Silica Gel Packets, Rechargeable Moisture absorbers for food storage, electronics, 3d filament &amp; safes</t>
  </si>
  <si>
    <t xml:space="preserve">B01MSZW5HQ</t>
  </si>
  <si>
    <t xml:space="preserve">uxcell</t>
  </si>
  <si>
    <t xml:space="preserve">a16101800ux0286</t>
  </si>
  <si>
    <t xml:space="preserve">10pcs M12 waterproof IP68 Nylon Cable Gland Joint adjustable locknut for 3mm-6.5mm dia Cable wire</t>
  </si>
  <si>
    <t xml:space="preserve">B094J8XD83</t>
  </si>
  <si>
    <t xml:space="preserve">AITRIP</t>
  </si>
  <si>
    <t xml:space="preserve">10 pack Capacitive Soil Moisture sensor corrosion resistant for arduino moisture detection garden watering DIY electronic for arduinio and raspberry pi</t>
  </si>
  <si>
    <t xml:space="preserve">Sensors</t>
  </si>
  <si>
    <t xml:space="preserve">B0F297R23T</t>
  </si>
  <si>
    <t xml:space="preserve">Ladinka</t>
  </si>
  <si>
    <t xml:space="preserve">cg001</t>
  </si>
  <si>
    <t xml:space="preserve">580 pcs M3 Black Nylon standoff kit with spacers, screws and nuts – motherboard  PCB mounting standoffs and screws, threaded pillar spacers for circuit boards and computer building</t>
  </si>
  <si>
    <t xml:space="preserve">PCB &amp; Assembly</t>
  </si>
  <si>
    <t xml:space="preserve">B08D5ZD528</t>
  </si>
  <si>
    <t xml:space="preserve">Esp-wroom-32 esp 32 esp-32s development board 2.4ghz dual-mode wifi + bluetooth dual cores microntroller processor integrated with antenna rf amp filter ap sta compatible with arduino ide (3 pcs)</t>
  </si>
  <si>
    <t xml:space="preserve">Electronic Components</t>
  </si>
  <si>
    <t xml:space="preserve">DigiKey</t>
  </si>
  <si>
    <t xml:space="preserve">4518-A03400ACT-ND</t>
  </si>
  <si>
    <t xml:space="preserve">UMW (VA)</t>
  </si>
  <si>
    <t xml:space="preserve">A03400A</t>
  </si>
  <si>
    <t xml:space="preserve">MOSFET N-CH 30V 5.7A SOT23-3L</t>
  </si>
  <si>
    <t xml:space="preserve">EA</t>
  </si>
  <si>
    <t xml:space="preserve">CF14JT100KCT-ND</t>
  </si>
  <si>
    <t xml:space="preserve">Stackpole Electronics INC</t>
  </si>
  <si>
    <t xml:space="preserve">CF14J100k</t>
  </si>
  <si>
    <t xml:space="preserve">100kohm resistor ¼ W 5%</t>
  </si>
  <si>
    <t xml:space="preserve">CF14J330RCT-ND</t>
  </si>
  <si>
    <t xml:space="preserve">CF14J330R</t>
  </si>
  <si>
    <t xml:space="preserve">300 ohm resistor ¼ W 5%</t>
  </si>
  <si>
    <t xml:space="preserve">Adafruit</t>
  </si>
  <si>
    <t xml:space="preserve">SMT Breakout PCB set for SOT-23, SOT-89, SOT-223 and TO252</t>
  </si>
  <si>
    <t xml:space="preserve">Discontinued</t>
  </si>
  <si>
    <t xml:space="preserve">MORNGC</t>
  </si>
  <si>
    <t xml:space="preserve">3.7V Lithium Ion Battery</t>
  </si>
  <si>
    <t xml:space="preserve">B072Z7Y19F</t>
  </si>
  <si>
    <t xml:space="preserve">ELEGOO</t>
  </si>
  <si>
    <t xml:space="preserve">EL-CP-021</t>
  </si>
  <si>
    <t xml:space="preserve">32 pcs double sided pcb board protypte kit for DIY soldering with 5 sizes compatible with arduino kits</t>
  </si>
  <si>
    <t xml:space="preserve">Amaazon</t>
  </si>
  <si>
    <t xml:space="preserve">B089CQHRDT</t>
  </si>
  <si>
    <t xml:space="preserve">Fermerry</t>
  </si>
  <si>
    <t xml:space="preserve">22 AWG Stranded Wire Spool 10ft each 6 colors flexible 22 gauge silicone hook up wire kit electrical tinned copper wire</t>
  </si>
  <si>
    <t xml:space="preserve">Kit</t>
  </si>
  <si>
    <t xml:space="preserve">B0D7Q9HJLQ</t>
  </si>
  <si>
    <t xml:space="preserve">ZSDFYLLK</t>
  </si>
  <si>
    <t xml:space="preserve">ZSDFYLLK-2P-2.0</t>
  </si>
  <si>
    <t xml:space="preserve">20 sets mini micro JST-PH 2.0mm 2 pin male connector with 10cm Silicone wire cables and female socket JST PH 2.0 connector kit</t>
  </si>
  <si>
    <t xml:space="preserve">TOTAL PROCUREMENT COST</t>
  </si>
  <si>
    <t xml:space="preserve">PROCUREMENT SUMMARY DASHBOARD</t>
  </si>
  <si>
    <t xml:space="preserve">Part Count</t>
  </si>
  <si>
    <t xml:space="preserve">Total Qty</t>
  </si>
  <si>
    <t xml:space="preserve">Extended Cost (USD)</t>
  </si>
  <si>
    <t xml:space="preserve">Avg Lead Time (Days)</t>
  </si>
  <si>
    <t xml:space="preserve">% of Total Cost</t>
  </si>
  <si>
    <t xml:space="preserve">Mechanical Parts</t>
  </si>
  <si>
    <t xml:space="preserve">Fasteners &amp; Hardware</t>
  </si>
  <si>
    <t xml:space="preserve">Cables &amp; Connectors</t>
  </si>
  <si>
    <t xml:space="preserve">Enclosures / Housings</t>
  </si>
  <si>
    <t xml:space="preserve">Other</t>
  </si>
  <si>
    <t xml:space="preserve">GRAND TOTAL</t>
  </si>
  <si>
    <t xml:space="preserve">REFERENCE TABLES</t>
  </si>
  <si>
    <t xml:space="preserve">Categories</t>
  </si>
  <si>
    <t xml:space="preserve">Unit of Measure (UOM)</t>
  </si>
  <si>
    <t xml:space="preserve">Procurement Status</t>
  </si>
  <si>
    <t xml:space="preserve">Not Started</t>
  </si>
  <si>
    <t xml:space="preserve">PCS</t>
  </si>
  <si>
    <t xml:space="preserve">RFQ Sent</t>
  </si>
  <si>
    <t xml:space="preserve">SET</t>
  </si>
  <si>
    <t xml:space="preserve">Quote Received</t>
  </si>
  <si>
    <t xml:space="preserve">KG</t>
  </si>
  <si>
    <t xml:space="preserve">PO Issued</t>
  </si>
  <si>
    <t xml:space="preserve">M</t>
  </si>
  <si>
    <t xml:space="preserve">Ordered</t>
  </si>
  <si>
    <t xml:space="preserve">PCB Assembly</t>
  </si>
  <si>
    <t xml:space="preserve">LOT</t>
  </si>
  <si>
    <t xml:space="preserve">Received</t>
  </si>
  <si>
    <t xml:space="preserve">BOX</t>
  </si>
  <si>
    <t xml:space="preserve">On Hold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</si>
</sst>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$#,##0.00"/>
    <numFmt numFmtId="167" formatCode="0.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7" activePane="bottomLeft" state="frozen"/>
      <selection pane="topLeft" activeCell="A1" activeCellId="0" sqref="A1"/>
      <selection pane="bottomLeft" activeCell="A23" activeCellId="0" sqref="23: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35"/>
    <col collapsed="false" customWidth="true" hidden="false" outlineLevel="0" max="7" min="7" style="1" width="9"/>
    <col collapsed="false" customWidth="true" hidden="false" outlineLevel="0" max="8" min="8" style="1" width="20.35"/>
    <col collapsed="false" customWidth="true" hidden="false" outlineLevel="0" max="9" min="9" style="1" width="8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3" min="13" style="1" width="15"/>
    <col collapsed="false" customWidth="true" hidden="false" outlineLevel="0" max="14" min="14" style="1" width="13"/>
    <col collapsed="false" customWidth="true" hidden="false" outlineLevel="0" max="15" min="15" style="1" width="2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8" hidden="false" customHeight="true" outlineLevel="0" collapsed="false">
      <c r="A2" s="3" t="s">
        <v>1</v>
      </c>
      <c r="B2" s="3"/>
      <c r="C2" s="3"/>
      <c r="D2" s="4" t="s">
        <v>2</v>
      </c>
      <c r="E2" s="4"/>
      <c r="F2" s="3" t="s">
        <v>3</v>
      </c>
      <c r="G2" s="3"/>
      <c r="H2" s="4" t="s">
        <v>4</v>
      </c>
      <c r="I2" s="4"/>
      <c r="J2" s="3" t="s">
        <v>5</v>
      </c>
      <c r="K2" s="3"/>
      <c r="L2" s="4"/>
      <c r="M2" s="4"/>
      <c r="N2" s="3" t="s">
        <v>6</v>
      </c>
      <c r="O2" s="3"/>
    </row>
    <row r="4" customFormat="false" ht="31.5" hidden="false" customHeight="true" outlineLevel="0" collapsed="false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5" t="s">
        <v>19</v>
      </c>
      <c r="N4" s="5" t="s">
        <v>20</v>
      </c>
      <c r="O4" s="5" t="s">
        <v>21</v>
      </c>
    </row>
    <row r="5" customFormat="false" ht="23.25" hidden="false" customHeight="true" outlineLevel="0" collapsed="false">
      <c r="A5" s="6" t="n">
        <v>1</v>
      </c>
      <c r="B5" s="6" t="s">
        <v>22</v>
      </c>
      <c r="C5" s="7" t="s">
        <v>23</v>
      </c>
      <c r="D5" s="7" t="s">
        <v>24</v>
      </c>
      <c r="E5" s="7" t="n">
        <v>788405512983</v>
      </c>
      <c r="F5" s="8" t="s">
        <v>25</v>
      </c>
      <c r="G5" s="6" t="s">
        <v>4</v>
      </c>
      <c r="H5" s="7" t="s">
        <v>26</v>
      </c>
      <c r="I5" s="6"/>
      <c r="J5" s="9" t="n">
        <v>1</v>
      </c>
      <c r="K5" s="9" t="n">
        <v>1</v>
      </c>
      <c r="L5" s="10" t="n">
        <v>9.99</v>
      </c>
      <c r="M5" s="10" t="n">
        <f aca="false">IF(K5="","",K5*L5)</f>
        <v>9.99</v>
      </c>
      <c r="N5" s="6" t="n">
        <v>2</v>
      </c>
      <c r="O5" s="7"/>
    </row>
    <row r="6" customFormat="false" ht="57" hidden="false" customHeight="true" outlineLevel="0" collapsed="false">
      <c r="A6" s="11" t="n">
        <v>2</v>
      </c>
      <c r="B6" s="6" t="s">
        <v>22</v>
      </c>
      <c r="C6" s="12" t="s">
        <v>27</v>
      </c>
      <c r="D6" s="12" t="s">
        <v>28</v>
      </c>
      <c r="E6" s="12" t="s">
        <v>29</v>
      </c>
      <c r="F6" s="13" t="s">
        <v>30</v>
      </c>
      <c r="G6" s="11" t="s">
        <v>4</v>
      </c>
      <c r="H6" s="12" t="s">
        <v>26</v>
      </c>
      <c r="I6" s="11"/>
      <c r="J6" s="14" t="n">
        <v>1</v>
      </c>
      <c r="K6" s="14" t="n">
        <v>1</v>
      </c>
      <c r="L6" s="15" t="n">
        <f aca="false">5.88/2</f>
        <v>2.94</v>
      </c>
      <c r="M6" s="15" t="n">
        <f aca="false">IF(K6="","",K6*L6)</f>
        <v>2.94</v>
      </c>
      <c r="N6" s="11" t="n">
        <v>2</v>
      </c>
      <c r="O6" s="12"/>
    </row>
    <row r="7" customFormat="false" ht="45.75" hidden="false" customHeight="true" outlineLevel="0" collapsed="false">
      <c r="A7" s="6" t="n">
        <v>3</v>
      </c>
      <c r="B7" s="6" t="s">
        <v>22</v>
      </c>
      <c r="C7" s="7" t="s">
        <v>31</v>
      </c>
      <c r="D7" s="7" t="s">
        <v>32</v>
      </c>
      <c r="E7" s="7" t="s">
        <v>33</v>
      </c>
      <c r="F7" s="8" t="s">
        <v>34</v>
      </c>
      <c r="G7" s="11" t="s">
        <v>4</v>
      </c>
      <c r="H7" s="7" t="s">
        <v>35</v>
      </c>
      <c r="I7" s="6"/>
      <c r="J7" s="9" t="n">
        <v>1</v>
      </c>
      <c r="K7" s="9" t="n">
        <v>1</v>
      </c>
      <c r="L7" s="10" t="n">
        <v>13.29</v>
      </c>
      <c r="M7" s="10" t="n">
        <f aca="false">IF(K7="","",K7*L7)</f>
        <v>13.29</v>
      </c>
      <c r="N7" s="6" t="n">
        <v>20</v>
      </c>
      <c r="O7" s="7"/>
    </row>
    <row r="8" customFormat="false" ht="57" hidden="false" customHeight="true" outlineLevel="0" collapsed="false">
      <c r="A8" s="11" t="n">
        <v>4</v>
      </c>
      <c r="B8" s="6" t="s">
        <v>22</v>
      </c>
      <c r="C8" s="12" t="s">
        <v>36</v>
      </c>
      <c r="D8" s="12" t="s">
        <v>37</v>
      </c>
      <c r="E8" s="12" t="n">
        <v>612715112000</v>
      </c>
      <c r="F8" s="13" t="s">
        <v>38</v>
      </c>
      <c r="G8" s="11" t="s">
        <v>4</v>
      </c>
      <c r="H8" s="12" t="s">
        <v>39</v>
      </c>
      <c r="I8" s="11"/>
      <c r="J8" s="14" t="n">
        <v>1</v>
      </c>
      <c r="K8" s="14" t="n">
        <v>1</v>
      </c>
      <c r="L8" s="15" t="n">
        <v>12.89</v>
      </c>
      <c r="M8" s="15" t="n">
        <f aca="false">IF(K8="","",K8*L8)</f>
        <v>12.89</v>
      </c>
      <c r="N8" s="11" t="n">
        <v>2</v>
      </c>
      <c r="O8" s="12"/>
    </row>
    <row r="9" customFormat="false" ht="45.75" hidden="false" customHeight="true" outlineLevel="0" collapsed="false">
      <c r="A9" s="6" t="n">
        <v>5</v>
      </c>
      <c r="B9" s="6" t="s">
        <v>22</v>
      </c>
      <c r="C9" s="7" t="s">
        <v>40</v>
      </c>
      <c r="D9" s="7" t="s">
        <v>41</v>
      </c>
      <c r="E9" s="7" t="s">
        <v>41</v>
      </c>
      <c r="F9" s="8" t="s">
        <v>42</v>
      </c>
      <c r="G9" s="11" t="s">
        <v>4</v>
      </c>
      <c r="H9" s="7" t="s">
        <v>35</v>
      </c>
      <c r="I9" s="6" t="s">
        <v>43</v>
      </c>
      <c r="J9" s="9" t="n">
        <v>1</v>
      </c>
      <c r="K9" s="9" t="n">
        <v>1</v>
      </c>
      <c r="L9" s="10" t="n">
        <f aca="false">6.49</f>
        <v>6.49</v>
      </c>
      <c r="M9" s="10" t="n">
        <f aca="false">IF(K9="","",K9*L9)</f>
        <v>6.49</v>
      </c>
      <c r="N9" s="6" t="n">
        <v>2</v>
      </c>
      <c r="O9" s="7"/>
    </row>
    <row r="10" customFormat="false" ht="34.5" hidden="false" customHeight="true" outlineLevel="0" collapsed="false">
      <c r="A10" s="11" t="n">
        <v>6</v>
      </c>
      <c r="B10" s="6" t="s">
        <v>22</v>
      </c>
      <c r="C10" s="12" t="s">
        <v>44</v>
      </c>
      <c r="D10" s="12" t="s">
        <v>45</v>
      </c>
      <c r="E10" s="12" t="n">
        <v>687117701701</v>
      </c>
      <c r="F10" s="13" t="s">
        <v>46</v>
      </c>
      <c r="G10" s="11" t="s">
        <v>4</v>
      </c>
      <c r="H10" s="12" t="s">
        <v>35</v>
      </c>
      <c r="I10" s="11" t="s">
        <v>43</v>
      </c>
      <c r="J10" s="14" t="n">
        <v>1</v>
      </c>
      <c r="K10" s="14" t="n">
        <v>1</v>
      </c>
      <c r="L10" s="15" t="n">
        <f aca="false">5.99</f>
        <v>5.99</v>
      </c>
      <c r="M10" s="15" t="n">
        <f aca="false">IF(K10="","",K10*L10)</f>
        <v>5.99</v>
      </c>
      <c r="N10" s="11" t="n">
        <v>2</v>
      </c>
      <c r="O10" s="12"/>
    </row>
    <row r="11" customFormat="false" ht="34.5" hidden="false" customHeight="true" outlineLevel="0" collapsed="false">
      <c r="A11" s="6" t="n">
        <v>7</v>
      </c>
      <c r="B11" s="6" t="s">
        <v>22</v>
      </c>
      <c r="C11" s="7" t="s">
        <v>47</v>
      </c>
      <c r="D11" s="7" t="s">
        <v>48</v>
      </c>
      <c r="E11" s="7" t="s">
        <v>49</v>
      </c>
      <c r="F11" s="8" t="s">
        <v>50</v>
      </c>
      <c r="G11" s="11" t="s">
        <v>4</v>
      </c>
      <c r="H11" s="7" t="s">
        <v>26</v>
      </c>
      <c r="I11" s="6" t="s">
        <v>43</v>
      </c>
      <c r="J11" s="9" t="n">
        <v>1</v>
      </c>
      <c r="K11" s="9" t="n">
        <v>1</v>
      </c>
      <c r="L11" s="10" t="n">
        <f aca="false">9.95</f>
        <v>9.95</v>
      </c>
      <c r="M11" s="10" t="n">
        <f aca="false">IF(K11="","",K11*L11)</f>
        <v>9.95</v>
      </c>
      <c r="N11" s="6" t="n">
        <v>2</v>
      </c>
      <c r="O11" s="7"/>
    </row>
    <row r="12" customFormat="false" ht="34.5" hidden="false" customHeight="true" outlineLevel="0" collapsed="false">
      <c r="A12" s="11" t="n">
        <v>8</v>
      </c>
      <c r="B12" s="6" t="s">
        <v>22</v>
      </c>
      <c r="C12" s="12" t="s">
        <v>51</v>
      </c>
      <c r="D12" s="12" t="s">
        <v>52</v>
      </c>
      <c r="E12" s="12" t="s">
        <v>53</v>
      </c>
      <c r="F12" s="13" t="s">
        <v>54</v>
      </c>
      <c r="G12" s="11" t="s">
        <v>4</v>
      </c>
      <c r="H12" s="12" t="s">
        <v>26</v>
      </c>
      <c r="I12" s="11" t="s">
        <v>43</v>
      </c>
      <c r="J12" s="14" t="n">
        <v>1</v>
      </c>
      <c r="K12" s="14" t="n">
        <v>1</v>
      </c>
      <c r="L12" s="15" t="n">
        <f aca="false">5.79</f>
        <v>5.79</v>
      </c>
      <c r="M12" s="15" t="n">
        <f aca="false">IF(K12="","",K12*L12)</f>
        <v>5.79</v>
      </c>
      <c r="N12" s="11" t="n">
        <v>2</v>
      </c>
      <c r="O12" s="12"/>
    </row>
    <row r="13" customFormat="false" ht="45.75" hidden="false" customHeight="true" outlineLevel="0" collapsed="false">
      <c r="A13" s="6" t="n">
        <v>9</v>
      </c>
      <c r="B13" s="6" t="s">
        <v>22</v>
      </c>
      <c r="C13" s="7" t="s">
        <v>55</v>
      </c>
      <c r="D13" s="7" t="s">
        <v>56</v>
      </c>
      <c r="E13" s="7" t="s">
        <v>56</v>
      </c>
      <c r="F13" s="8" t="s">
        <v>57</v>
      </c>
      <c r="G13" s="11" t="s">
        <v>4</v>
      </c>
      <c r="H13" s="7" t="s">
        <v>58</v>
      </c>
      <c r="I13" s="6" t="s">
        <v>43</v>
      </c>
      <c r="J13" s="9" t="n">
        <v>1</v>
      </c>
      <c r="K13" s="9" t="n">
        <v>1</v>
      </c>
      <c r="L13" s="10" t="n">
        <f aca="false">11.99</f>
        <v>11.99</v>
      </c>
      <c r="M13" s="10" t="n">
        <f aca="false">IF(K13="","",K13*L13)</f>
        <v>11.99</v>
      </c>
      <c r="N13" s="6" t="n">
        <v>2</v>
      </c>
      <c r="O13" s="7"/>
    </row>
    <row r="14" customFormat="false" ht="57" hidden="false" customHeight="true" outlineLevel="0" collapsed="false">
      <c r="A14" s="11" t="n">
        <v>10</v>
      </c>
      <c r="B14" s="6" t="s">
        <v>22</v>
      </c>
      <c r="C14" s="12" t="s">
        <v>59</v>
      </c>
      <c r="D14" s="12" t="s">
        <v>60</v>
      </c>
      <c r="E14" s="12" t="s">
        <v>61</v>
      </c>
      <c r="F14" s="13" t="s">
        <v>62</v>
      </c>
      <c r="G14" s="11" t="s">
        <v>4</v>
      </c>
      <c r="H14" s="12" t="s">
        <v>63</v>
      </c>
      <c r="I14" s="11" t="s">
        <v>43</v>
      </c>
      <c r="J14" s="14" t="n">
        <v>1</v>
      </c>
      <c r="K14" s="14" t="n">
        <v>1</v>
      </c>
      <c r="L14" s="15" t="n">
        <f aca="false">8.59/580*16</f>
        <v>0.236965517241379</v>
      </c>
      <c r="M14" s="15" t="n">
        <f aca="false">IF(K14="","",K14*L14)</f>
        <v>0.236965517241379</v>
      </c>
      <c r="N14" s="11" t="n">
        <v>2</v>
      </c>
      <c r="O14" s="12"/>
    </row>
    <row r="15" customFormat="false" ht="68.25" hidden="false" customHeight="true" outlineLevel="0" collapsed="false">
      <c r="A15" s="6" t="n">
        <v>11</v>
      </c>
      <c r="B15" s="6" t="s">
        <v>22</v>
      </c>
      <c r="C15" s="7" t="s">
        <v>64</v>
      </c>
      <c r="D15" s="7" t="s">
        <v>56</v>
      </c>
      <c r="E15" s="7" t="n">
        <v>15363</v>
      </c>
      <c r="F15" s="8" t="s">
        <v>65</v>
      </c>
      <c r="G15" s="11" t="s">
        <v>4</v>
      </c>
      <c r="H15" s="7" t="s">
        <v>66</v>
      </c>
      <c r="I15" s="6" t="s">
        <v>43</v>
      </c>
      <c r="J15" s="9" t="n">
        <v>1</v>
      </c>
      <c r="K15" s="9" t="n">
        <v>1</v>
      </c>
      <c r="L15" s="10" t="n">
        <f aca="false">16.79/3</f>
        <v>5.59666666666667</v>
      </c>
      <c r="M15" s="10" t="n">
        <f aca="false">IF(K15="","",K15*L15)</f>
        <v>5.59666666666667</v>
      </c>
      <c r="N15" s="6" t="n">
        <v>2</v>
      </c>
      <c r="O15" s="7"/>
    </row>
    <row r="16" customFormat="false" ht="15" hidden="false" customHeight="true" outlineLevel="0" collapsed="false">
      <c r="A16" s="11" t="n">
        <v>12</v>
      </c>
      <c r="B16" s="11" t="s">
        <v>67</v>
      </c>
      <c r="C16" s="12" t="s">
        <v>68</v>
      </c>
      <c r="D16" s="12" t="s">
        <v>69</v>
      </c>
      <c r="E16" s="12" t="s">
        <v>70</v>
      </c>
      <c r="F16" s="13" t="s">
        <v>71</v>
      </c>
      <c r="G16" s="11" t="s">
        <v>4</v>
      </c>
      <c r="H16" s="12" t="s">
        <v>66</v>
      </c>
      <c r="I16" s="11" t="s">
        <v>72</v>
      </c>
      <c r="J16" s="14" t="n">
        <v>1</v>
      </c>
      <c r="K16" s="14" t="n">
        <v>1</v>
      </c>
      <c r="L16" s="15" t="n">
        <v>0.119</v>
      </c>
      <c r="M16" s="15" t="n">
        <f aca="false">IF(K16="","",K16*L16)</f>
        <v>0.119</v>
      </c>
      <c r="N16" s="11" t="n">
        <v>10</v>
      </c>
      <c r="O16" s="12"/>
    </row>
    <row r="17" customFormat="false" ht="15" hidden="false" customHeight="true" outlineLevel="0" collapsed="false">
      <c r="A17" s="6" t="n">
        <v>13</v>
      </c>
      <c r="B17" s="11" t="s">
        <v>67</v>
      </c>
      <c r="C17" s="7" t="s">
        <v>73</v>
      </c>
      <c r="D17" s="7" t="s">
        <v>74</v>
      </c>
      <c r="E17" s="7" t="s">
        <v>75</v>
      </c>
      <c r="F17" s="8" t="s">
        <v>76</v>
      </c>
      <c r="G17" s="11" t="s">
        <v>4</v>
      </c>
      <c r="H17" s="7" t="s">
        <v>66</v>
      </c>
      <c r="I17" s="6" t="s">
        <v>72</v>
      </c>
      <c r="J17" s="9" t="n">
        <v>1</v>
      </c>
      <c r="K17" s="9" t="n">
        <v>1</v>
      </c>
      <c r="L17" s="10" t="n">
        <v>0.022</v>
      </c>
      <c r="M17" s="10" t="n">
        <f aca="false">IF(K17="","",K17*L17)</f>
        <v>0.022</v>
      </c>
      <c r="N17" s="6" t="n">
        <v>10</v>
      </c>
      <c r="O17" s="7"/>
    </row>
    <row r="18" customFormat="false" ht="15" hidden="false" customHeight="true" outlineLevel="0" collapsed="false">
      <c r="A18" s="11" t="n">
        <v>14</v>
      </c>
      <c r="B18" s="11" t="s">
        <v>67</v>
      </c>
      <c r="C18" s="12" t="s">
        <v>77</v>
      </c>
      <c r="D18" s="7" t="s">
        <v>74</v>
      </c>
      <c r="E18" s="12" t="s">
        <v>78</v>
      </c>
      <c r="F18" s="13" t="s">
        <v>79</v>
      </c>
      <c r="G18" s="11" t="s">
        <v>4</v>
      </c>
      <c r="H18" s="12" t="s">
        <v>66</v>
      </c>
      <c r="I18" s="11" t="s">
        <v>72</v>
      </c>
      <c r="J18" s="14" t="n">
        <v>1</v>
      </c>
      <c r="K18" s="14" t="n">
        <v>1</v>
      </c>
      <c r="L18" s="15" t="n">
        <v>0.02</v>
      </c>
      <c r="M18" s="15" t="n">
        <f aca="false">IF(K18="","",K18*L18)</f>
        <v>0.02</v>
      </c>
      <c r="N18" s="11" t="n">
        <v>10</v>
      </c>
      <c r="O18" s="12"/>
    </row>
    <row r="19" customFormat="false" ht="23.25" hidden="false" customHeight="true" outlineLevel="0" collapsed="false">
      <c r="A19" s="6" t="n">
        <v>15</v>
      </c>
      <c r="B19" s="6" t="s">
        <v>80</v>
      </c>
      <c r="C19" s="7" t="n">
        <v>1230</v>
      </c>
      <c r="D19" s="7" t="s">
        <v>80</v>
      </c>
      <c r="E19" s="7" t="n">
        <v>1230</v>
      </c>
      <c r="F19" s="8" t="s">
        <v>81</v>
      </c>
      <c r="G19" s="11" t="s">
        <v>4</v>
      </c>
      <c r="H19" s="7" t="s">
        <v>63</v>
      </c>
      <c r="I19" s="6" t="s">
        <v>43</v>
      </c>
      <c r="J19" s="9" t="n">
        <v>1</v>
      </c>
      <c r="K19" s="9" t="n">
        <v>1</v>
      </c>
      <c r="L19" s="10" t="n">
        <f aca="false">4.95</f>
        <v>4.95</v>
      </c>
      <c r="M19" s="10" t="n">
        <f aca="false">IF(K19="","",K19*L19)</f>
        <v>4.95</v>
      </c>
      <c r="N19" s="6" t="n">
        <v>10</v>
      </c>
      <c r="O19" s="7"/>
    </row>
    <row r="20" customFormat="false" ht="15" hidden="false" customHeight="true" outlineLevel="0" collapsed="false">
      <c r="A20" s="11" t="n">
        <v>16</v>
      </c>
      <c r="B20" s="11" t="s">
        <v>22</v>
      </c>
      <c r="C20" s="12" t="s">
        <v>82</v>
      </c>
      <c r="D20" s="12" t="s">
        <v>83</v>
      </c>
      <c r="E20" s="12" t="s">
        <v>82</v>
      </c>
      <c r="F20" s="13" t="s">
        <v>84</v>
      </c>
      <c r="G20" s="11" t="s">
        <v>4</v>
      </c>
      <c r="H20" s="12" t="s">
        <v>35</v>
      </c>
      <c r="I20" s="11" t="s">
        <v>43</v>
      </c>
      <c r="J20" s="14" t="n">
        <v>1</v>
      </c>
      <c r="K20" s="14" t="n">
        <v>1</v>
      </c>
      <c r="L20" s="15" t="n">
        <f aca="false">23.89</f>
        <v>23.89</v>
      </c>
      <c r="M20" s="15" t="n">
        <f aca="false">IF(K20="","",K20*L20)</f>
        <v>23.89</v>
      </c>
      <c r="N20" s="11" t="n">
        <v>2</v>
      </c>
      <c r="O20" s="12"/>
    </row>
    <row r="21" customFormat="false" ht="34.5" hidden="false" customHeight="true" outlineLevel="0" collapsed="false">
      <c r="A21" s="6" t="n">
        <v>17</v>
      </c>
      <c r="B21" s="6" t="s">
        <v>22</v>
      </c>
      <c r="C21" s="7" t="s">
        <v>85</v>
      </c>
      <c r="D21" s="7" t="s">
        <v>86</v>
      </c>
      <c r="E21" s="7" t="s">
        <v>87</v>
      </c>
      <c r="F21" s="8" t="s">
        <v>88</v>
      </c>
      <c r="G21" s="11" t="s">
        <v>4</v>
      </c>
      <c r="H21" s="7" t="s">
        <v>63</v>
      </c>
      <c r="I21" s="6" t="s">
        <v>43</v>
      </c>
      <c r="J21" s="9" t="n">
        <v>1</v>
      </c>
      <c r="K21" s="9" t="n">
        <v>1</v>
      </c>
      <c r="L21" s="10" t="n">
        <v>9.99</v>
      </c>
      <c r="M21" s="10" t="n">
        <f aca="false">IF(K21="","",K21*L21)</f>
        <v>9.99</v>
      </c>
      <c r="N21" s="6" t="n">
        <v>2</v>
      </c>
      <c r="O21" s="7"/>
    </row>
    <row r="22" customFormat="false" ht="35.05" hidden="false" customHeight="false" outlineLevel="0" collapsed="false">
      <c r="A22" s="11" t="n">
        <v>18</v>
      </c>
      <c r="B22" s="11" t="s">
        <v>89</v>
      </c>
      <c r="C22" s="12" t="s">
        <v>90</v>
      </c>
      <c r="D22" s="12" t="s">
        <v>91</v>
      </c>
      <c r="E22" s="12" t="n">
        <v>695510396080</v>
      </c>
      <c r="F22" s="13" t="s">
        <v>92</v>
      </c>
      <c r="G22" s="11" t="s">
        <v>4</v>
      </c>
      <c r="H22" s="12" t="s">
        <v>66</v>
      </c>
      <c r="I22" s="11" t="s">
        <v>93</v>
      </c>
      <c r="J22" s="14" t="n">
        <v>1</v>
      </c>
      <c r="K22" s="14" t="n">
        <v>1</v>
      </c>
      <c r="L22" s="15" t="n">
        <v>12.99</v>
      </c>
      <c r="M22" s="15" t="n">
        <f aca="false">IF(K22="","",K22*L22)</f>
        <v>12.99</v>
      </c>
      <c r="N22" s="11" t="n">
        <v>2</v>
      </c>
      <c r="O22" s="12"/>
    </row>
    <row r="23" customFormat="false" ht="46.25" hidden="false" customHeight="false" outlineLevel="0" collapsed="false">
      <c r="A23" s="6" t="n">
        <v>19</v>
      </c>
      <c r="B23" s="6" t="s">
        <v>22</v>
      </c>
      <c r="C23" s="7" t="s">
        <v>94</v>
      </c>
      <c r="D23" s="7" t="s">
        <v>95</v>
      </c>
      <c r="E23" s="7" t="s">
        <v>96</v>
      </c>
      <c r="F23" s="8" t="s">
        <v>97</v>
      </c>
      <c r="G23" s="6" t="s">
        <v>4</v>
      </c>
      <c r="H23" s="7" t="s">
        <v>66</v>
      </c>
      <c r="I23" s="6" t="s">
        <v>43</v>
      </c>
      <c r="J23" s="9" t="n">
        <v>1</v>
      </c>
      <c r="K23" s="9" t="n">
        <v>1</v>
      </c>
      <c r="L23" s="10" t="n">
        <v>6.99</v>
      </c>
      <c r="M23" s="10" t="n">
        <f aca="false">IF(K23="","",K23*L23)</f>
        <v>6.99</v>
      </c>
      <c r="N23" s="6" t="n">
        <v>2</v>
      </c>
      <c r="O23" s="7"/>
    </row>
    <row r="24" customFormat="false" ht="15" hidden="false" customHeight="true" outlineLevel="0" collapsed="false">
      <c r="A24" s="11" t="n">
        <v>20</v>
      </c>
      <c r="B24" s="11"/>
      <c r="C24" s="12"/>
      <c r="D24" s="12"/>
      <c r="E24" s="12"/>
      <c r="F24" s="13"/>
      <c r="G24" s="11"/>
      <c r="H24" s="12"/>
      <c r="I24" s="11"/>
      <c r="J24" s="14"/>
      <c r="K24" s="14"/>
      <c r="L24" s="15"/>
      <c r="M24" s="15" t="str">
        <f aca="false">IF(K24="","",K24*L24)</f>
        <v/>
      </c>
      <c r="N24" s="11"/>
      <c r="O24" s="12"/>
    </row>
    <row r="25" customFormat="false" ht="15" hidden="false" customHeight="true" outlineLevel="0" collapsed="false">
      <c r="A25" s="6" t="n">
        <v>21</v>
      </c>
      <c r="B25" s="6"/>
      <c r="C25" s="7"/>
      <c r="D25" s="7"/>
      <c r="E25" s="7"/>
      <c r="F25" s="8"/>
      <c r="G25" s="6"/>
      <c r="H25" s="7"/>
      <c r="I25" s="6"/>
      <c r="J25" s="9"/>
      <c r="K25" s="9"/>
      <c r="L25" s="10"/>
      <c r="M25" s="10" t="str">
        <f aca="false">IF(K25="","",K25*L25)</f>
        <v/>
      </c>
      <c r="N25" s="6"/>
      <c r="O25" s="7"/>
    </row>
    <row r="26" customFormat="false" ht="15" hidden="false" customHeight="true" outlineLevel="0" collapsed="false">
      <c r="A26" s="11" t="n">
        <v>22</v>
      </c>
      <c r="B26" s="11"/>
      <c r="C26" s="12"/>
      <c r="D26" s="12"/>
      <c r="E26" s="12"/>
      <c r="F26" s="13"/>
      <c r="G26" s="11"/>
      <c r="H26" s="12"/>
      <c r="I26" s="11"/>
      <c r="J26" s="14"/>
      <c r="K26" s="14"/>
      <c r="L26" s="15"/>
      <c r="M26" s="15" t="str">
        <f aca="false">IF(K26="","",K26*L26)</f>
        <v/>
      </c>
      <c r="N26" s="11"/>
      <c r="O26" s="12"/>
    </row>
    <row r="27" customFormat="false" ht="15" hidden="false" customHeight="true" outlineLevel="0" collapsed="false">
      <c r="A27" s="6" t="n">
        <v>23</v>
      </c>
      <c r="B27" s="6"/>
      <c r="C27" s="7"/>
      <c r="D27" s="7"/>
      <c r="E27" s="7"/>
      <c r="F27" s="8"/>
      <c r="G27" s="6"/>
      <c r="H27" s="7"/>
      <c r="I27" s="6"/>
      <c r="J27" s="9"/>
      <c r="K27" s="9"/>
      <c r="L27" s="10"/>
      <c r="M27" s="10" t="str">
        <f aca="false">IF(K27="","",K27*L27)</f>
        <v/>
      </c>
      <c r="N27" s="6"/>
      <c r="O27" s="7"/>
    </row>
    <row r="28" customFormat="false" ht="15" hidden="false" customHeight="true" outlineLevel="0" collapsed="false">
      <c r="A28" s="11" t="n">
        <v>24</v>
      </c>
      <c r="B28" s="11"/>
      <c r="C28" s="12"/>
      <c r="D28" s="12"/>
      <c r="E28" s="12"/>
      <c r="F28" s="13"/>
      <c r="G28" s="11"/>
      <c r="H28" s="12"/>
      <c r="I28" s="11"/>
      <c r="J28" s="14"/>
      <c r="K28" s="14"/>
      <c r="L28" s="15"/>
      <c r="M28" s="15" t="str">
        <f aca="false">IF(K28="","",K28*L28)</f>
        <v/>
      </c>
      <c r="N28" s="11"/>
      <c r="O28" s="12"/>
    </row>
    <row r="29" customFormat="false" ht="15" hidden="false" customHeight="true" outlineLevel="0" collapsed="false">
      <c r="A29" s="6" t="n">
        <v>25</v>
      </c>
      <c r="B29" s="6"/>
      <c r="C29" s="7"/>
      <c r="D29" s="7"/>
      <c r="E29" s="7"/>
      <c r="F29" s="8"/>
      <c r="G29" s="6"/>
      <c r="H29" s="7"/>
      <c r="I29" s="6"/>
      <c r="J29" s="9"/>
      <c r="K29" s="9"/>
      <c r="L29" s="10"/>
      <c r="M29" s="10" t="str">
        <f aca="false">IF(K29="","",K29*L29)</f>
        <v/>
      </c>
      <c r="N29" s="6"/>
      <c r="O29" s="7"/>
    </row>
    <row r="30" customFormat="false" ht="15" hidden="false" customHeight="true" outlineLevel="0" collapsed="false">
      <c r="A30" s="11" t="n">
        <v>26</v>
      </c>
      <c r="B30" s="11"/>
      <c r="C30" s="12"/>
      <c r="D30" s="12"/>
      <c r="E30" s="12"/>
      <c r="F30" s="13"/>
      <c r="G30" s="11"/>
      <c r="H30" s="12"/>
      <c r="I30" s="11"/>
      <c r="J30" s="14"/>
      <c r="K30" s="14"/>
      <c r="L30" s="15"/>
      <c r="M30" s="15" t="str">
        <f aca="false">IF(K30="","",K30*L30)</f>
        <v/>
      </c>
      <c r="N30" s="11"/>
      <c r="O30" s="12"/>
    </row>
    <row r="31" customFormat="false" ht="15" hidden="false" customHeight="true" outlineLevel="0" collapsed="false">
      <c r="A31" s="6" t="n">
        <v>27</v>
      </c>
      <c r="B31" s="6"/>
      <c r="C31" s="7"/>
      <c r="D31" s="7"/>
      <c r="E31" s="7"/>
      <c r="F31" s="8"/>
      <c r="G31" s="6"/>
      <c r="H31" s="7"/>
      <c r="I31" s="6"/>
      <c r="J31" s="9"/>
      <c r="K31" s="9"/>
      <c r="L31" s="10"/>
      <c r="M31" s="10" t="str">
        <f aca="false">IF(K31="","",K31*L31)</f>
        <v/>
      </c>
      <c r="N31" s="6"/>
      <c r="O31" s="7"/>
    </row>
    <row r="32" customFormat="false" ht="15" hidden="false" customHeight="true" outlineLevel="0" collapsed="false">
      <c r="A32" s="11" t="n">
        <v>28</v>
      </c>
      <c r="B32" s="11"/>
      <c r="C32" s="12"/>
      <c r="D32" s="12"/>
      <c r="E32" s="12"/>
      <c r="F32" s="13"/>
      <c r="G32" s="11"/>
      <c r="H32" s="12"/>
      <c r="I32" s="11"/>
      <c r="J32" s="14"/>
      <c r="K32" s="14"/>
      <c r="L32" s="15"/>
      <c r="M32" s="15" t="str">
        <f aca="false">IF(K32="","",K32*L32)</f>
        <v/>
      </c>
      <c r="N32" s="11"/>
      <c r="O32" s="12"/>
    </row>
    <row r="33" customFormat="false" ht="15" hidden="false" customHeight="true" outlineLevel="0" collapsed="false">
      <c r="A33" s="6" t="n">
        <v>29</v>
      </c>
      <c r="B33" s="6"/>
      <c r="C33" s="7"/>
      <c r="D33" s="7"/>
      <c r="E33" s="7"/>
      <c r="F33" s="8"/>
      <c r="G33" s="6"/>
      <c r="H33" s="7"/>
      <c r="I33" s="6"/>
      <c r="J33" s="9"/>
      <c r="K33" s="9"/>
      <c r="L33" s="10"/>
      <c r="M33" s="10" t="str">
        <f aca="false">IF(K33="","",K33*L33)</f>
        <v/>
      </c>
      <c r="N33" s="6"/>
      <c r="O33" s="7"/>
    </row>
    <row r="34" customFormat="false" ht="15" hidden="false" customHeight="true" outlineLevel="0" collapsed="false">
      <c r="A34" s="11" t="n">
        <v>30</v>
      </c>
      <c r="B34" s="11"/>
      <c r="C34" s="12"/>
      <c r="D34" s="12"/>
      <c r="E34" s="12"/>
      <c r="F34" s="13"/>
      <c r="G34" s="11"/>
      <c r="H34" s="12"/>
      <c r="I34" s="11"/>
      <c r="J34" s="14"/>
      <c r="K34" s="14"/>
      <c r="L34" s="15"/>
      <c r="M34" s="15" t="str">
        <f aca="false">IF(K34="","",K34*L34)</f>
        <v/>
      </c>
      <c r="N34" s="11"/>
      <c r="O34" s="12"/>
    </row>
    <row r="35" customFormat="false" ht="15" hidden="false" customHeight="true" outlineLevel="0" collapsed="false">
      <c r="A35" s="6" t="n">
        <v>31</v>
      </c>
      <c r="B35" s="6"/>
      <c r="C35" s="7"/>
      <c r="D35" s="7"/>
      <c r="E35" s="7"/>
      <c r="F35" s="8"/>
      <c r="G35" s="6"/>
      <c r="H35" s="7"/>
      <c r="I35" s="6"/>
      <c r="J35" s="9"/>
      <c r="K35" s="9"/>
      <c r="L35" s="10"/>
      <c r="M35" s="10" t="str">
        <f aca="false">IF(K35="","",K35*L35)</f>
        <v/>
      </c>
      <c r="N35" s="6"/>
      <c r="O35" s="7"/>
    </row>
    <row r="36" customFormat="false" ht="15" hidden="false" customHeight="true" outlineLevel="0" collapsed="false">
      <c r="A36" s="11" t="n">
        <v>32</v>
      </c>
      <c r="B36" s="11"/>
      <c r="C36" s="12"/>
      <c r="D36" s="12"/>
      <c r="E36" s="12"/>
      <c r="F36" s="13"/>
      <c r="G36" s="11"/>
      <c r="H36" s="12"/>
      <c r="I36" s="11"/>
      <c r="J36" s="14"/>
      <c r="K36" s="14"/>
      <c r="L36" s="15"/>
      <c r="M36" s="15" t="str">
        <f aca="false">IF(K36="","",K36*L36)</f>
        <v/>
      </c>
      <c r="N36" s="11"/>
      <c r="O36" s="12"/>
    </row>
    <row r="37" customFormat="false" ht="15" hidden="false" customHeight="true" outlineLevel="0" collapsed="false">
      <c r="A37" s="6" t="n">
        <v>33</v>
      </c>
      <c r="B37" s="6"/>
      <c r="C37" s="7"/>
      <c r="D37" s="7"/>
      <c r="E37" s="7"/>
      <c r="F37" s="8"/>
      <c r="G37" s="6"/>
      <c r="H37" s="7"/>
      <c r="I37" s="6"/>
      <c r="J37" s="9"/>
      <c r="K37" s="9"/>
      <c r="L37" s="10"/>
      <c r="M37" s="10" t="str">
        <f aca="false">IF(K37="","",K37*L37)</f>
        <v/>
      </c>
      <c r="N37" s="6"/>
      <c r="O37" s="7"/>
    </row>
    <row r="38" customFormat="false" ht="15" hidden="false" customHeight="true" outlineLevel="0" collapsed="false">
      <c r="A38" s="11" t="n">
        <v>34</v>
      </c>
      <c r="B38" s="11"/>
      <c r="C38" s="12"/>
      <c r="D38" s="12"/>
      <c r="E38" s="12"/>
      <c r="F38" s="13"/>
      <c r="G38" s="11"/>
      <c r="H38" s="12"/>
      <c r="I38" s="11"/>
      <c r="J38" s="14"/>
      <c r="K38" s="14"/>
      <c r="L38" s="15"/>
      <c r="M38" s="15" t="str">
        <f aca="false">IF(K38="","",K38*L38)</f>
        <v/>
      </c>
      <c r="N38" s="11"/>
      <c r="O38" s="12"/>
    </row>
    <row r="39" customFormat="false" ht="15" hidden="false" customHeight="true" outlineLevel="0" collapsed="false">
      <c r="A39" s="6" t="n">
        <v>35</v>
      </c>
      <c r="B39" s="6"/>
      <c r="C39" s="7"/>
      <c r="D39" s="7"/>
      <c r="E39" s="7"/>
      <c r="F39" s="8"/>
      <c r="G39" s="6"/>
      <c r="H39" s="7"/>
      <c r="I39" s="6"/>
      <c r="J39" s="9"/>
      <c r="K39" s="9"/>
      <c r="L39" s="10"/>
      <c r="M39" s="10" t="str">
        <f aca="false">IF(K39="","",K39*L39)</f>
        <v/>
      </c>
      <c r="N39" s="6"/>
      <c r="O39" s="7"/>
    </row>
    <row r="40" customFormat="false" ht="15" hidden="false" customHeight="true" outlineLevel="0" collapsed="false">
      <c r="A40" s="11" t="n">
        <v>36</v>
      </c>
      <c r="B40" s="11"/>
      <c r="C40" s="12"/>
      <c r="D40" s="12"/>
      <c r="E40" s="12"/>
      <c r="F40" s="13"/>
      <c r="G40" s="11"/>
      <c r="H40" s="12"/>
      <c r="I40" s="11"/>
      <c r="J40" s="14"/>
      <c r="K40" s="14"/>
      <c r="L40" s="15"/>
      <c r="M40" s="15" t="str">
        <f aca="false">IF(K40="","",K40*L40)</f>
        <v/>
      </c>
      <c r="N40" s="11"/>
      <c r="O40" s="12"/>
    </row>
    <row r="41" customFormat="false" ht="15" hidden="false" customHeight="true" outlineLevel="0" collapsed="false">
      <c r="A41" s="6" t="n">
        <v>37</v>
      </c>
      <c r="B41" s="6"/>
      <c r="C41" s="7"/>
      <c r="D41" s="7"/>
      <c r="E41" s="7"/>
      <c r="F41" s="8"/>
      <c r="G41" s="6"/>
      <c r="H41" s="7"/>
      <c r="I41" s="6"/>
      <c r="J41" s="9"/>
      <c r="K41" s="9"/>
      <c r="L41" s="10"/>
      <c r="M41" s="10" t="str">
        <f aca="false">IF(K41="","",K41*L41)</f>
        <v/>
      </c>
      <c r="N41" s="6"/>
      <c r="O41" s="7"/>
    </row>
    <row r="42" customFormat="false" ht="15" hidden="false" customHeight="true" outlineLevel="0" collapsed="false">
      <c r="A42" s="11" t="n">
        <v>38</v>
      </c>
      <c r="B42" s="11"/>
      <c r="C42" s="12"/>
      <c r="D42" s="12"/>
      <c r="E42" s="12"/>
      <c r="F42" s="13"/>
      <c r="G42" s="11"/>
      <c r="H42" s="12"/>
      <c r="I42" s="11"/>
      <c r="J42" s="14"/>
      <c r="K42" s="14"/>
      <c r="L42" s="15"/>
      <c r="M42" s="15" t="str">
        <f aca="false">IF(K42="","",K42*L42)</f>
        <v/>
      </c>
      <c r="N42" s="11"/>
      <c r="O42" s="12"/>
    </row>
    <row r="43" customFormat="false" ht="15" hidden="false" customHeight="true" outlineLevel="0" collapsed="false">
      <c r="A43" s="6" t="n">
        <v>39</v>
      </c>
      <c r="B43" s="6"/>
      <c r="C43" s="7"/>
      <c r="D43" s="7"/>
      <c r="E43" s="7"/>
      <c r="F43" s="8"/>
      <c r="G43" s="6"/>
      <c r="H43" s="7"/>
      <c r="I43" s="6"/>
      <c r="J43" s="9"/>
      <c r="K43" s="9"/>
      <c r="L43" s="10"/>
      <c r="M43" s="10" t="str">
        <f aca="false">IF(K43="","",K43*L43)</f>
        <v/>
      </c>
      <c r="N43" s="6"/>
      <c r="O43" s="7"/>
    </row>
    <row r="44" customFormat="false" ht="15" hidden="false" customHeight="true" outlineLevel="0" collapsed="false">
      <c r="A44" s="11" t="n">
        <v>40</v>
      </c>
      <c r="B44" s="11"/>
      <c r="C44" s="12"/>
      <c r="D44" s="12"/>
      <c r="E44" s="12"/>
      <c r="F44" s="13"/>
      <c r="G44" s="11"/>
      <c r="H44" s="12"/>
      <c r="I44" s="11"/>
      <c r="J44" s="14"/>
      <c r="K44" s="14"/>
      <c r="L44" s="15"/>
      <c r="M44" s="15" t="str">
        <f aca="false">IF(K44="","",K44*L44)</f>
        <v/>
      </c>
      <c r="N44" s="11"/>
      <c r="O44" s="12"/>
    </row>
    <row r="45" customFormat="false" ht="15" hidden="false" customHeight="true" outlineLevel="0" collapsed="false">
      <c r="A45" s="6" t="n">
        <v>41</v>
      </c>
      <c r="B45" s="6"/>
      <c r="C45" s="7"/>
      <c r="D45" s="7"/>
      <c r="E45" s="7"/>
      <c r="F45" s="8"/>
      <c r="G45" s="6"/>
      <c r="H45" s="7"/>
      <c r="I45" s="6"/>
      <c r="J45" s="9"/>
      <c r="K45" s="9"/>
      <c r="L45" s="10"/>
      <c r="M45" s="10" t="str">
        <f aca="false">IF(K45="","",K45*L45)</f>
        <v/>
      </c>
      <c r="N45" s="6"/>
      <c r="O45" s="7"/>
    </row>
    <row r="46" customFormat="false" ht="15" hidden="false" customHeight="true" outlineLevel="0" collapsed="false">
      <c r="A46" s="11" t="n">
        <v>42</v>
      </c>
      <c r="B46" s="11"/>
      <c r="C46" s="12"/>
      <c r="D46" s="12"/>
      <c r="E46" s="12"/>
      <c r="F46" s="13"/>
      <c r="G46" s="11"/>
      <c r="H46" s="12"/>
      <c r="I46" s="11"/>
      <c r="J46" s="14"/>
      <c r="K46" s="14"/>
      <c r="L46" s="15"/>
      <c r="M46" s="15" t="str">
        <f aca="false">IF(K46="","",K46*L46)</f>
        <v/>
      </c>
      <c r="N46" s="11"/>
      <c r="O46" s="12"/>
    </row>
    <row r="47" customFormat="false" ht="15" hidden="false" customHeight="true" outlineLevel="0" collapsed="false">
      <c r="A47" s="6" t="n">
        <v>43</v>
      </c>
      <c r="B47" s="6"/>
      <c r="C47" s="7"/>
      <c r="D47" s="7"/>
      <c r="E47" s="7"/>
      <c r="F47" s="8"/>
      <c r="G47" s="6"/>
      <c r="H47" s="7"/>
      <c r="I47" s="6"/>
      <c r="J47" s="9"/>
      <c r="K47" s="9"/>
      <c r="L47" s="10"/>
      <c r="M47" s="10" t="str">
        <f aca="false">IF(K47="","",K47*L47)</f>
        <v/>
      </c>
      <c r="N47" s="6"/>
      <c r="O47" s="7"/>
    </row>
    <row r="48" customFormat="false" ht="15" hidden="false" customHeight="true" outlineLevel="0" collapsed="false">
      <c r="A48" s="11" t="n">
        <v>44</v>
      </c>
      <c r="B48" s="11"/>
      <c r="C48" s="12"/>
      <c r="D48" s="12"/>
      <c r="E48" s="12"/>
      <c r="F48" s="13"/>
      <c r="G48" s="11"/>
      <c r="H48" s="12"/>
      <c r="I48" s="11"/>
      <c r="J48" s="14"/>
      <c r="K48" s="14"/>
      <c r="L48" s="15"/>
      <c r="M48" s="15" t="str">
        <f aca="false">IF(K48="","",K48*L48)</f>
        <v/>
      </c>
      <c r="N48" s="11"/>
      <c r="O48" s="12"/>
    </row>
    <row r="49" customFormat="false" ht="15" hidden="false" customHeight="true" outlineLevel="0" collapsed="false">
      <c r="A49" s="6" t="n">
        <v>45</v>
      </c>
      <c r="B49" s="6"/>
      <c r="C49" s="7"/>
      <c r="D49" s="7"/>
      <c r="E49" s="7"/>
      <c r="F49" s="8"/>
      <c r="G49" s="6"/>
      <c r="H49" s="7"/>
      <c r="I49" s="6"/>
      <c r="J49" s="9"/>
      <c r="K49" s="9"/>
      <c r="L49" s="10"/>
      <c r="M49" s="10" t="str">
        <f aca="false">IF(K49="","",K49*L49)</f>
        <v/>
      </c>
      <c r="N49" s="6"/>
      <c r="O49" s="7"/>
    </row>
    <row r="50" customFormat="false" ht="15" hidden="false" customHeight="true" outlineLevel="0" collapsed="false">
      <c r="A50" s="11" t="n">
        <v>46</v>
      </c>
      <c r="B50" s="11"/>
      <c r="C50" s="12"/>
      <c r="D50" s="12"/>
      <c r="E50" s="12"/>
      <c r="F50" s="13"/>
      <c r="G50" s="11"/>
      <c r="H50" s="12"/>
      <c r="I50" s="11"/>
      <c r="J50" s="14"/>
      <c r="K50" s="14"/>
      <c r="L50" s="15"/>
      <c r="M50" s="15" t="str">
        <f aca="false">IF(K50="","",K50*L50)</f>
        <v/>
      </c>
      <c r="N50" s="11"/>
      <c r="O50" s="12"/>
    </row>
    <row r="51" customFormat="false" ht="15" hidden="false" customHeight="true" outlineLevel="0" collapsed="false">
      <c r="A51" s="6" t="n">
        <v>47</v>
      </c>
      <c r="B51" s="6"/>
      <c r="C51" s="7"/>
      <c r="D51" s="7"/>
      <c r="E51" s="7"/>
      <c r="F51" s="8"/>
      <c r="G51" s="6"/>
      <c r="H51" s="7"/>
      <c r="I51" s="6"/>
      <c r="J51" s="9"/>
      <c r="K51" s="9"/>
      <c r="L51" s="10"/>
      <c r="M51" s="10" t="str">
        <f aca="false">IF(K51="","",K51*L51)</f>
        <v/>
      </c>
      <c r="N51" s="6"/>
      <c r="O51" s="7"/>
    </row>
    <row r="52" customFormat="false" ht="15" hidden="false" customHeight="true" outlineLevel="0" collapsed="false">
      <c r="A52" s="11" t="n">
        <v>48</v>
      </c>
      <c r="B52" s="11"/>
      <c r="C52" s="12"/>
      <c r="D52" s="12"/>
      <c r="E52" s="12"/>
      <c r="F52" s="13"/>
      <c r="G52" s="11"/>
      <c r="H52" s="12"/>
      <c r="I52" s="11"/>
      <c r="J52" s="14"/>
      <c r="K52" s="14"/>
      <c r="L52" s="15"/>
      <c r="M52" s="15" t="str">
        <f aca="false">IF(K52="","",K52*L52)</f>
        <v/>
      </c>
      <c r="N52" s="11"/>
      <c r="O52" s="12"/>
    </row>
    <row r="53" customFormat="false" ht="15" hidden="false" customHeight="true" outlineLevel="0" collapsed="false">
      <c r="A53" s="6" t="n">
        <v>49</v>
      </c>
      <c r="B53" s="6"/>
      <c r="C53" s="7"/>
      <c r="D53" s="7"/>
      <c r="E53" s="7"/>
      <c r="F53" s="8"/>
      <c r="G53" s="6"/>
      <c r="H53" s="7"/>
      <c r="I53" s="6"/>
      <c r="J53" s="9"/>
      <c r="K53" s="9"/>
      <c r="L53" s="10"/>
      <c r="M53" s="10" t="str">
        <f aca="false">IF(K53="","",K53*L53)</f>
        <v/>
      </c>
      <c r="N53" s="6"/>
      <c r="O53" s="7"/>
    </row>
    <row r="54" customFormat="false" ht="15" hidden="false" customHeight="true" outlineLevel="0" collapsed="false">
      <c r="A54" s="11" t="n">
        <v>50</v>
      </c>
      <c r="B54" s="11"/>
      <c r="C54" s="12"/>
      <c r="D54" s="12"/>
      <c r="E54" s="12"/>
      <c r="F54" s="13"/>
      <c r="G54" s="11"/>
      <c r="H54" s="12"/>
      <c r="I54" s="11"/>
      <c r="J54" s="14"/>
      <c r="K54" s="14"/>
      <c r="L54" s="15"/>
      <c r="M54" s="15" t="str">
        <f aca="false">IF(K54="","",K54*L54)</f>
        <v/>
      </c>
      <c r="N54" s="11"/>
      <c r="O54" s="12"/>
    </row>
    <row r="55" customFormat="false" ht="21.75" hidden="false" customHeight="true" outlineLevel="0" collapsed="false">
      <c r="A55" s="16" t="s">
        <v>98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" t="n">
        <f aca="false">SUM(M5:M54)</f>
        <v>144.124632183908</v>
      </c>
      <c r="N55" s="18"/>
      <c r="O55" s="18"/>
    </row>
  </sheetData>
  <mergeCells count="9">
    <mergeCell ref="A1:O1"/>
    <mergeCell ref="A2:C2"/>
    <mergeCell ref="D2:E2"/>
    <mergeCell ref="F2:G2"/>
    <mergeCell ref="H2:I2"/>
    <mergeCell ref="J2:K2"/>
    <mergeCell ref="L2:M2"/>
    <mergeCell ref="N2:O2"/>
    <mergeCell ref="A55:L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1" sqref="23:23 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3"/>
    <col collapsed="false" customWidth="true" hidden="false" outlineLevel="0" max="5" min="4" style="1" width="22"/>
    <col collapsed="false" customWidth="true" hidden="false" outlineLevel="0" max="6" min="6" style="1" width="18"/>
  </cols>
  <sheetData>
    <row r="1" customFormat="false" ht="27.75" hidden="false" customHeight="true" outlineLevel="0" collapsed="false">
      <c r="A1" s="19" t="s">
        <v>99</v>
      </c>
      <c r="B1" s="19"/>
      <c r="C1" s="19"/>
      <c r="D1" s="19"/>
      <c r="E1" s="19"/>
      <c r="F1" s="19"/>
    </row>
    <row r="3" customFormat="false" ht="27.75" hidden="false" customHeight="true" outlineLevel="0" collapsed="false">
      <c r="A3" s="5" t="s">
        <v>14</v>
      </c>
      <c r="B3" s="5" t="s">
        <v>100</v>
      </c>
      <c r="C3" s="5" t="s">
        <v>101</v>
      </c>
      <c r="D3" s="5" t="s">
        <v>102</v>
      </c>
      <c r="E3" s="5" t="s">
        <v>103</v>
      </c>
      <c r="F3" s="5" t="s">
        <v>104</v>
      </c>
    </row>
    <row r="4" customFormat="false" ht="15" hidden="false" customHeight="true" outlineLevel="0" collapsed="false">
      <c r="A4" s="12" t="s">
        <v>66</v>
      </c>
      <c r="B4" s="11"/>
      <c r="C4" s="11"/>
      <c r="D4" s="15"/>
      <c r="E4" s="20"/>
      <c r="F4" s="21"/>
    </row>
    <row r="5" customFormat="false" ht="15" hidden="false" customHeight="true" outlineLevel="0" collapsed="false">
      <c r="A5" s="7" t="s">
        <v>105</v>
      </c>
      <c r="B5" s="6"/>
      <c r="C5" s="6"/>
      <c r="D5" s="10"/>
      <c r="E5" s="22"/>
      <c r="F5" s="23"/>
    </row>
    <row r="6" customFormat="false" ht="15" hidden="false" customHeight="true" outlineLevel="0" collapsed="false">
      <c r="A6" s="12" t="s">
        <v>106</v>
      </c>
      <c r="B6" s="11"/>
      <c r="C6" s="11"/>
      <c r="D6" s="15"/>
      <c r="E6" s="20"/>
      <c r="F6" s="21"/>
    </row>
    <row r="7" customFormat="false" ht="15" hidden="false" customHeight="true" outlineLevel="0" collapsed="false">
      <c r="A7" s="7" t="s">
        <v>107</v>
      </c>
      <c r="B7" s="6"/>
      <c r="C7" s="6"/>
      <c r="D7" s="10"/>
      <c r="E7" s="22"/>
      <c r="F7" s="23"/>
    </row>
    <row r="8" customFormat="false" ht="15" hidden="false" customHeight="true" outlineLevel="0" collapsed="false">
      <c r="A8" s="12" t="s">
        <v>108</v>
      </c>
      <c r="B8" s="11"/>
      <c r="C8" s="11"/>
      <c r="D8" s="15"/>
      <c r="E8" s="20"/>
      <c r="F8" s="21"/>
    </row>
    <row r="9" customFormat="false" ht="15" hidden="false" customHeight="true" outlineLevel="0" collapsed="false">
      <c r="A9" s="7" t="s">
        <v>109</v>
      </c>
      <c r="B9" s="6"/>
      <c r="C9" s="6"/>
      <c r="D9" s="10"/>
      <c r="E9" s="22"/>
      <c r="F9" s="23"/>
    </row>
    <row r="10" customFormat="false" ht="15" hidden="false" customHeight="true" outlineLevel="0" collapsed="false">
      <c r="A10" s="16" t="s">
        <v>110</v>
      </c>
      <c r="B10" s="16"/>
      <c r="C10" s="16"/>
      <c r="D10" s="17" t="n">
        <f aca="false">SUM(D4:D9)</f>
        <v>0</v>
      </c>
      <c r="E10" s="18"/>
      <c r="F10" s="18"/>
    </row>
  </sheetData>
  <mergeCells count="2">
    <mergeCell ref="A1:F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1" sqref="23:23 D8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4" min="4" style="1" width="25"/>
  </cols>
  <sheetData>
    <row r="1" customFormat="false" ht="15" hidden="false" customHeight="true" outlineLevel="0" collapsed="false">
      <c r="A1" s="24" t="s">
        <v>111</v>
      </c>
    </row>
    <row r="2" customFormat="false" ht="15" hidden="false" customHeight="true" outlineLevel="0" collapsed="false">
      <c r="A2" s="25" t="s">
        <v>112</v>
      </c>
      <c r="B2" s="25" t="s">
        <v>113</v>
      </c>
      <c r="D2" s="25" t="s">
        <v>114</v>
      </c>
    </row>
    <row r="3" customFormat="false" ht="15" hidden="false" customHeight="true" outlineLevel="0" collapsed="false">
      <c r="A3" s="7" t="s">
        <v>66</v>
      </c>
      <c r="B3" s="7" t="s">
        <v>72</v>
      </c>
      <c r="D3" s="7" t="s">
        <v>115</v>
      </c>
    </row>
    <row r="4" customFormat="false" ht="15" hidden="false" customHeight="true" outlineLevel="0" collapsed="false">
      <c r="A4" s="12" t="s">
        <v>105</v>
      </c>
      <c r="B4" s="12" t="s">
        <v>116</v>
      </c>
      <c r="D4" s="12" t="s">
        <v>117</v>
      </c>
    </row>
    <row r="5" customFormat="false" ht="15" hidden="false" customHeight="true" outlineLevel="0" collapsed="false">
      <c r="A5" s="7" t="s">
        <v>106</v>
      </c>
      <c r="B5" s="7" t="s">
        <v>118</v>
      </c>
      <c r="D5" s="7" t="s">
        <v>119</v>
      </c>
    </row>
    <row r="6" customFormat="false" ht="15" hidden="false" customHeight="true" outlineLevel="0" collapsed="false">
      <c r="A6" s="12" t="s">
        <v>107</v>
      </c>
      <c r="B6" s="12" t="s">
        <v>120</v>
      </c>
      <c r="D6" s="12" t="s">
        <v>121</v>
      </c>
    </row>
    <row r="7" customFormat="false" ht="15" hidden="false" customHeight="true" outlineLevel="0" collapsed="false">
      <c r="A7" s="7" t="s">
        <v>108</v>
      </c>
      <c r="B7" s="7" t="s">
        <v>122</v>
      </c>
      <c r="D7" s="7" t="s">
        <v>123</v>
      </c>
    </row>
    <row r="8" customFormat="false" ht="15" hidden="false" customHeight="true" outlineLevel="0" collapsed="false">
      <c r="A8" s="12" t="s">
        <v>124</v>
      </c>
      <c r="B8" s="12" t="s">
        <v>125</v>
      </c>
      <c r="D8" s="12" t="s">
        <v>126</v>
      </c>
    </row>
    <row r="9" customFormat="false" ht="15" hidden="false" customHeight="true" outlineLevel="0" collapsed="false">
      <c r="A9" s="7" t="s">
        <v>109</v>
      </c>
      <c r="B9" s="7" t="s">
        <v>127</v>
      </c>
      <c r="D9" s="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8822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2026-05-13T02:40:02Z</dcterms:created>
  <dc:creator>openpyxl</dc:creator>
  <dc:description/>
  <dc:language>en-US</dc:language>
  <cp:lastModifiedBy/>
  <dcterms:modified xsi:type="dcterms:W3CDTF">2026-05-23T11:40:36Z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